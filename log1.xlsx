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0.04\home\alira\FYP\"/>
    </mc:Choice>
  </mc:AlternateContent>
  <xr:revisionPtr revIDLastSave="0" documentId="13_ncr:1_{7C8BE17B-DB0D-40F5-9B4F-9F504F2972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3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3" i="1"/>
</calcChain>
</file>

<file path=xl/sharedStrings.xml><?xml version="1.0" encoding="utf-8"?>
<sst xmlns="http://schemas.openxmlformats.org/spreadsheetml/2006/main" count="102" uniqueCount="74">
  <si>
    <t xml:space="preserve">c3540 Number of Inputs = 50 </t>
  </si>
  <si>
    <t>bin</t>
  </si>
  <si>
    <t>int</t>
  </si>
  <si>
    <t>len</t>
  </si>
  <si>
    <t>inputs</t>
  </si>
  <si>
    <t>attack_iterations</t>
  </si>
  <si>
    <t>locking_time</t>
  </si>
  <si>
    <t>SAT_extecution_time</t>
  </si>
  <si>
    <t>['N311']</t>
  </si>
  <si>
    <t>['N329', 'N330']</t>
  </si>
  <si>
    <t>['N137', 'N244', 'N97']</t>
  </si>
  <si>
    <t>['N270', 'N330', 'N350', 'N20']</t>
  </si>
  <si>
    <t>['N58', 'N190', 'N226', 'N169', 'N322']</t>
  </si>
  <si>
    <t>['N264', 'N226', 'N200', 'N124', 'N330', 'N20']</t>
  </si>
  <si>
    <t>['N350', 'N322', 'N326', 'N257', 'N97', 'N116', 'N77']</t>
  </si>
  <si>
    <t>['N45', 'N137', 'N77', 'N41', 'N294', ' N232', 'N311', 'N20']</t>
  </si>
  <si>
    <t>['N124', 'N41', 'N343', 'N45', 'N107', 'N222', 'N13', 'N116', 'N317']</t>
  </si>
  <si>
    <t>['N270', 'N190', 'N137', 'N213', ' N87', 'N33', 'N343', 'N322', 'N350', 'N20']</t>
  </si>
  <si>
    <t>['N343', 'N226', 'N179', ' N232', 'N317', 'N350', 'N68', 'N190', 'N124', 'N349', 'N20']</t>
  </si>
  <si>
    <t>['N226', 'N137', 'N213', 'N97', 'N283', ' N87', 'N45', 'N329', 'N322', 'N116', ' N232', 'N250']</t>
  </si>
  <si>
    <t>['N107', 'N97', 'N270', 'N125', 'N45', 'N343', 'N274', ' N303', 'N264', ' N232', 'N159', 'N223', 'N330']</t>
  </si>
  <si>
    <t>['N1', 'N116', 'N41', 'N322', 'N226', 'N326', 'N200', 'N349', 'N137', 'N169', 'N128', 'N68', 'N45', ' N150']</t>
  </si>
  <si>
    <t xml:space="preserve">c880 Number of Inputs = 60 </t>
  </si>
  <si>
    <t>['N1']</t>
  </si>
  <si>
    <t>['N156', 'N189']</t>
  </si>
  <si>
    <t>['N29', 'N268', 'N255']</t>
  </si>
  <si>
    <t>['N26', 'N237', 'N153', 'N149']</t>
  </si>
  <si>
    <t>['N177', 'N91', 'N55', 'N87', 'N171']</t>
  </si>
  <si>
    <t>['N116', 'N237', 'N55', 'N87', 'N42', 'N138']</t>
  </si>
  <si>
    <t>['N89', 'N135', 'N255', 'N210', 'N75', 'N116', 'N268']</t>
  </si>
  <si>
    <t>['N68', 'N259', 'N89', 'N116', 'N195', 'N189', 'N201', 'N138']</t>
  </si>
  <si>
    <t>[' N219', 'N135', 'N207', 'N149', 'N101', 'N75', 'N85', 'N152', 'N156']</t>
  </si>
  <si>
    <t>['N210', 'N75', 'N68', 'N80', 'N149', 'N259', 'N90', 'N13', 'N51', 'N146']</t>
  </si>
  <si>
    <t>['N259', 'N210', 'N152', 'N55', 'N121', 'N111', 'N177', 'N201', 'N80', 'N156', ' N126']</t>
  </si>
  <si>
    <t>['N255', 'N116', 'N73', 'N26', 'N195', ' N219', 'N8', 'N268', 'N80', 'N1', 'N261', 'N111']</t>
  </si>
  <si>
    <t>['N106', 'N121', 'N85', 'N73', 'N183', 'N165', 'N177', 'N26', 'N86', 'N260', 'N42', 'N29', 'N8']</t>
  </si>
  <si>
    <t>['N80', 'N146', 'N261', 'N207', 'N165', 'N259', 'N36', 'N143', 'N73', 'N89', 'N72', 'N13', 'N210', 'N255']</t>
  </si>
  <si>
    <t xml:space="preserve">c7552 Number of Inputs = 207 </t>
  </si>
  <si>
    <t>['N154']</t>
  </si>
  <si>
    <t>['N153', 'N118']</t>
  </si>
  <si>
    <t>['N144', 'N150', ' N227']</t>
  </si>
  <si>
    <t>['N233', 'N180', 'N192', 'N183']</t>
  </si>
  <si>
    <t>['N310', 'N212', ' N217', 'N80', 'N155']</t>
  </si>
  <si>
    <t>['N194', 'N82', 'N62', ' N260', 'N204', 'N238']</t>
  </si>
  <si>
    <t>['N173', 'N59', 'N18', 'N38', 'N358', 'N151', ' N115']</t>
  </si>
  <si>
    <t>[' N141', 'N205', 'N100', 'N111', 'N106', 'N322', 'N50', 'N195']</t>
  </si>
  <si>
    <t>['N204', 'N212', 'N176', ' N57', 'N158', 'N172', 'N127', 'N12', 'N289']</t>
  </si>
  <si>
    <t>['N225', 'N65', 'N358', 'N212', 'N216', ' N217', 'N213', 'N82', 'N199', 'N169']</t>
  </si>
  <si>
    <t>['N242', ' N217', 'N111', 'N113', 'N138', 'N77', 'N201', 'N83', 'N181', 'N310', 'N234']</t>
  </si>
  <si>
    <t>[' N237', 'N180', 'N163', 'N111', 'N233', 'N84', 'N161', 'N55', 'N267', 'N382', 'N182', 'N223']</t>
  </si>
  <si>
    <t>['N77', 'N198', 'N38', ' N325', 'N184', 'N212', 'N161', 'N114', 'N334', 'N23', 'N135', 'N235', ' N177']</t>
  </si>
  <si>
    <t>['N319', 'N61', 'N193', 'N211', 'N185', ' N81', 'N205', 'N239', 'N63', 'N199', 'N65', 'N150', 'N334', 'N191']</t>
  </si>
  <si>
    <t xml:space="preserve">c17 Number of Inputs = 5 </t>
  </si>
  <si>
    <t>['N7']</t>
  </si>
  <si>
    <t>['N7', 'N2']</t>
  </si>
  <si>
    <t>['N3', 'N2', 'N6']</t>
  </si>
  <si>
    <t>['N6', 'N1', 'N7', 'N3']</t>
  </si>
  <si>
    <t>['N6', 'N1', 'N2', 'N3', 'N7']</t>
  </si>
  <si>
    <t xml:space="preserve">c5315 Number of Inputs = 178 </t>
  </si>
  <si>
    <t>['N248']</t>
  </si>
  <si>
    <t>['N119', 'N176']</t>
  </si>
  <si>
    <t>['N61', ' N366', 'N146']</t>
  </si>
  <si>
    <t>['N373', 'N135', 'N422', 'N191']</t>
  </si>
  <si>
    <t>['N131', ' N106', 'N280', 'N23', 'N152']</t>
  </si>
  <si>
    <t>['N233', 'N479', 'N70', 'N307', 'N119', 'N67']</t>
  </si>
  <si>
    <t>['N293', 'N619', 'N31', 'N81', 'N549', 'N20', 'N241']</t>
  </si>
  <si>
    <t>['N11', 'N173', 'N70', 'N81', 'N523', 'N34', 'N234', 'N200']</t>
  </si>
  <si>
    <t>['N114', 'N146', 'N97', 'N571', ' N580', 'N400', 'N307', 'N25', 'N373']</t>
  </si>
  <si>
    <t>['N67', 'N26', 'N233', 'N135', 'N117', 'N254', 'N149', 'N167', 'N248', 'N145']</t>
  </si>
  <si>
    <t>['N112', 'N369', 'N272', 'N307', 'N265', 'N43', 'N281', 'N46', 'N52', 'N218', 'N167']</t>
  </si>
  <si>
    <t>['N11', 'N468', 'N566', 'N91', 'N273', 'N176', 'N234', 'N288', 'N14', 'N170', 'N40', 'N83']</t>
  </si>
  <si>
    <t>['N49', 'N610', 'N161', 'N40', ' N603', 'N140', 'N128', 'N369', 'N613', 'N117', 'N331', 'N619', 'N280']</t>
  </si>
  <si>
    <t>['N67', 'N14', 'N76', ' N324', 'N597', 'N25', 'N372', 'N123', 'N613', 'N182', 'N91', 'N194', 'N248', 'N34']</t>
  </si>
  <si>
    <t>2^(k/2)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</si>
</sst>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2" fontId="0" fillId="0" borderId="0" xfId="0" applyNumberFormat="1"/>
    <xf numFmtId="0" fontId="16" fillId="0" borderId="0" xfId="0" applyFont="1"/>
    <xf numFmtId="12" fontId="18" fillId="0" borderId="0" xfId="0" applyNumberFormat="1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c3540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log!$C$3:$C$16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log!$E$3:$E$16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10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8</c:v>
                </c:pt>
                <c:pt idx="9">
                  <c:v>2</c:v>
                </c:pt>
                <c:pt idx="10">
                  <c:v>72</c:v>
                </c:pt>
                <c:pt idx="11">
                  <c:v>2</c:v>
                </c:pt>
                <c:pt idx="12">
                  <c:v>36</c:v>
                </c:pt>
                <c:pt idx="13">
                  <c:v>1097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95-43E1-830B-61972901EBAD}"/>
            </c:ext>
          </c:extLst>
        </c:ser>
        <c:ser>
          <c:idx val="1"/>
          <c:order val="1"/>
          <c:tx>
            <c:v>c880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log!$C$19:$C$32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log!$E$19:$E$32</c:f>
              <c:numCache>
                <c:formatCode>General</c:formatCode>
                <c:ptCount val="14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30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12</c:v>
                </c:pt>
                <c:pt idx="9">
                  <c:v>132</c:v>
                </c:pt>
                <c:pt idx="10">
                  <c:v>557</c:v>
                </c:pt>
                <c:pt idx="11">
                  <c:v>40</c:v>
                </c:pt>
                <c:pt idx="12">
                  <c:v>368</c:v>
                </c:pt>
                <c:pt idx="13">
                  <c:v>464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95-43E1-830B-61972901EBAD}"/>
            </c:ext>
          </c:extLst>
        </c:ser>
        <c:ser>
          <c:idx val="2"/>
          <c:order val="2"/>
          <c:tx>
            <c:v>c7552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log!$C$35:$C$48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log!$E$35:$E$48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8</c:v>
                </c:pt>
                <c:pt idx="8">
                  <c:v>1</c:v>
                </c:pt>
                <c:pt idx="9">
                  <c:v>1</c:v>
                </c:pt>
                <c:pt idx="10">
                  <c:v>800</c:v>
                </c:pt>
                <c:pt idx="11">
                  <c:v>1</c:v>
                </c:pt>
                <c:pt idx="12">
                  <c:v>1</c:v>
                </c:pt>
                <c:pt idx="13">
                  <c:v>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95-43E1-830B-61972901EBAD}"/>
            </c:ext>
          </c:extLst>
        </c:ser>
        <c:ser>
          <c:idx val="3"/>
          <c:order val="3"/>
          <c:tx>
            <c:v>c17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log!$C$51:$C$55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log!$E$51:$E$55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15</c:v>
                </c:pt>
                <c:pt idx="4">
                  <c:v>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095-43E1-830B-61972901EBAD}"/>
            </c:ext>
          </c:extLst>
        </c:ser>
        <c:ser>
          <c:idx val="4"/>
          <c:order val="4"/>
          <c:tx>
            <c:v>c5315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log!$C$58:$C$71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log!$E$58:$E$71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34</c:v>
                </c:pt>
                <c:pt idx="8">
                  <c:v>2</c:v>
                </c:pt>
                <c:pt idx="9">
                  <c:v>2</c:v>
                </c:pt>
                <c:pt idx="10">
                  <c:v>8</c:v>
                </c:pt>
                <c:pt idx="11">
                  <c:v>1</c:v>
                </c:pt>
                <c:pt idx="12">
                  <c:v>751</c:v>
                </c:pt>
                <c:pt idx="13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095-43E1-830B-61972901E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046800"/>
        <c:axId val="653046160"/>
      </c:scatterChart>
      <c:valAx>
        <c:axId val="65304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53046160"/>
        <c:crosses val="autoZero"/>
        <c:crossBetween val="midCat"/>
      </c:valAx>
      <c:valAx>
        <c:axId val="65304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53046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log!$H$3:$H$16</c:f>
              <c:numCache>
                <c:formatCode>General</c:formatCode>
                <c:ptCount val="14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</c:numCache>
            </c:numRef>
          </c:xVal>
          <c:yVal>
            <c:numRef>
              <c:f>log!$I$3:$I$16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10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8</c:v>
                </c:pt>
                <c:pt idx="9">
                  <c:v>2</c:v>
                </c:pt>
                <c:pt idx="10">
                  <c:v>72</c:v>
                </c:pt>
                <c:pt idx="11">
                  <c:v>2</c:v>
                </c:pt>
                <c:pt idx="12">
                  <c:v>36</c:v>
                </c:pt>
                <c:pt idx="13">
                  <c:v>1097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70-4DE8-8E50-BF8EB950098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log!$H$19:$H$32</c:f>
              <c:numCache>
                <c:formatCode>General</c:formatCode>
                <c:ptCount val="14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</c:numCache>
            </c:numRef>
          </c:xVal>
          <c:yVal>
            <c:numRef>
              <c:f>log!$I$19:$I$32</c:f>
              <c:numCache>
                <c:formatCode>General</c:formatCode>
                <c:ptCount val="14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30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12</c:v>
                </c:pt>
                <c:pt idx="9">
                  <c:v>132</c:v>
                </c:pt>
                <c:pt idx="10">
                  <c:v>557</c:v>
                </c:pt>
                <c:pt idx="11">
                  <c:v>40</c:v>
                </c:pt>
                <c:pt idx="12">
                  <c:v>368</c:v>
                </c:pt>
                <c:pt idx="13">
                  <c:v>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170-4DE8-8E50-BF8EB950098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log!$H$35:$H$48</c:f>
              <c:numCache>
                <c:formatCode>General</c:formatCode>
                <c:ptCount val="14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</c:numCache>
            </c:numRef>
          </c:xVal>
          <c:yVal>
            <c:numRef>
              <c:f>log!$I$35:$I$48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8</c:v>
                </c:pt>
                <c:pt idx="8">
                  <c:v>1</c:v>
                </c:pt>
                <c:pt idx="9">
                  <c:v>1</c:v>
                </c:pt>
                <c:pt idx="10">
                  <c:v>800</c:v>
                </c:pt>
                <c:pt idx="11">
                  <c:v>1</c:v>
                </c:pt>
                <c:pt idx="12">
                  <c:v>1</c:v>
                </c:pt>
                <c:pt idx="13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170-4DE8-8E50-BF8EB9500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136016"/>
        <c:axId val="559137936"/>
      </c:scatterChart>
      <c:valAx>
        <c:axId val="55913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559137936"/>
        <c:crosses val="autoZero"/>
        <c:crossBetween val="midCat"/>
      </c:valAx>
      <c:valAx>
        <c:axId val="55913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559136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1135380</xdr:colOff>
      <xdr:row>77</xdr:row>
      <xdr:rowOff>99060</xdr:rowOff>
    </xdr:from>
    <xdr:to>
      <xdr:col>6</xdr:col>
      <xdr:colOff>30480</xdr:colOff>
      <xdr:row>100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C7A364-663D-AFAF-8170-7A11D7E53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87085</xdr:colOff>
      <xdr:row>8</xdr:row>
      <xdr:rowOff>70755</xdr:rowOff>
    </xdr:from>
    <xdr:to>
      <xdr:col>5</xdr:col>
      <xdr:colOff>805542</xdr:colOff>
      <xdr:row>28</xdr:row>
      <xdr:rowOff>87085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845299-3D02-B09E-C7C2-3FE4C8619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"/>
  <sheetViews>
    <sheetView tabSelected="1" zoomScale="70" zoomScaleNormal="70" workbookViewId="0">
      <selection activeCell="J13" sqref="J13"/>
    </sheetView>
  </sheetViews>
  <sheetFormatPr defaultRowHeight="14.4" x14ac:dyDescent="0.3"/>
  <cols>
    <col min="1" max="1" width="21" style="1" customWidth="1"/>
    <col min="3" max="3" width="8.88671875" style="2"/>
    <col min="4" max="4" width="83.6640625" customWidth="1"/>
    <col min="5" max="5" width="18.33203125" style="2" customWidth="1"/>
    <col min="6" max="6" width="14.77734375" customWidth="1"/>
    <col min="7" max="7" width="21.44140625" customWidth="1"/>
  </cols>
  <sheetData>
    <row r="1" spans="1:10" s="4" customFormat="1" ht="15.6" x14ac:dyDescent="0.3">
      <c r="A1" s="3" t="s">
        <v>0</v>
      </c>
    </row>
    <row r="2" spans="1:10" s="4" customFormat="1" ht="15.6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10" x14ac:dyDescent="0.3">
      <c r="A3" s="1">
        <v>0</v>
      </c>
      <c r="B3">
        <v>0</v>
      </c>
      <c r="C3" s="2">
        <v>1</v>
      </c>
      <c r="D3" t="s">
        <v>8</v>
      </c>
      <c r="E3" s="2">
        <v>1</v>
      </c>
      <c r="F3">
        <v>10.2225680351257</v>
      </c>
      <c r="G3">
        <v>1.50087213516235</v>
      </c>
      <c r="H3">
        <f>C3/2</f>
        <v>0.5</v>
      </c>
      <c r="I3">
        <f>E3</f>
        <v>1</v>
      </c>
      <c r="J3">
        <f>ROUND(2^(C3/2),0)</f>
        <v>1</v>
      </c>
    </row>
    <row r="4" spans="1:10" x14ac:dyDescent="0.3">
      <c r="A4" s="1">
        <v>0</v>
      </c>
      <c r="B4">
        <v>0</v>
      </c>
      <c r="C4" s="2">
        <v>2</v>
      </c>
      <c r="D4" t="s">
        <v>9</v>
      </c>
      <c r="E4" s="2">
        <v>1</v>
      </c>
      <c r="F4">
        <v>10.6287093162536</v>
      </c>
      <c r="G4">
        <v>1.5385050773620601</v>
      </c>
      <c r="H4">
        <f t="shared" ref="H4:H16" si="0">C4/2</f>
        <v>1</v>
      </c>
      <c r="I4">
        <f t="shared" ref="I4:I16" si="1">E4</f>
        <v>1</v>
      </c>
      <c r="J4">
        <f t="shared" ref="J4:J67" si="2">ROUND(2^(C4/2),0)</f>
        <v>2</v>
      </c>
    </row>
    <row r="5" spans="1:10" x14ac:dyDescent="0.3">
      <c r="A5" s="1">
        <v>10</v>
      </c>
      <c r="B5">
        <v>2</v>
      </c>
      <c r="C5" s="2">
        <v>3</v>
      </c>
      <c r="D5" t="s">
        <v>10</v>
      </c>
      <c r="E5" s="2">
        <v>2</v>
      </c>
      <c r="F5">
        <v>10.579627752304001</v>
      </c>
      <c r="G5">
        <v>1.6054930686950599</v>
      </c>
      <c r="H5">
        <f t="shared" si="0"/>
        <v>1.5</v>
      </c>
      <c r="I5">
        <f t="shared" si="1"/>
        <v>2</v>
      </c>
      <c r="J5">
        <f t="shared" si="2"/>
        <v>3</v>
      </c>
    </row>
    <row r="6" spans="1:10" x14ac:dyDescent="0.3">
      <c r="A6" s="1">
        <v>0</v>
      </c>
      <c r="B6">
        <v>0</v>
      </c>
      <c r="C6" s="2">
        <v>4</v>
      </c>
      <c r="D6" t="s">
        <v>11</v>
      </c>
      <c r="E6" s="2">
        <v>10</v>
      </c>
      <c r="F6">
        <v>10.3147222995758</v>
      </c>
      <c r="G6">
        <v>4.3565044403076101</v>
      </c>
      <c r="H6">
        <f t="shared" si="0"/>
        <v>2</v>
      </c>
      <c r="I6">
        <f t="shared" si="1"/>
        <v>10</v>
      </c>
      <c r="J6">
        <f t="shared" si="2"/>
        <v>4</v>
      </c>
    </row>
    <row r="7" spans="1:10" x14ac:dyDescent="0.3">
      <c r="A7" s="1">
        <v>10</v>
      </c>
      <c r="B7">
        <v>2</v>
      </c>
      <c r="C7" s="2">
        <v>5</v>
      </c>
      <c r="D7" t="s">
        <v>12</v>
      </c>
      <c r="E7" s="2">
        <v>2</v>
      </c>
      <c r="F7">
        <v>10.064520835876399</v>
      </c>
      <c r="G7">
        <v>2.10660195350646</v>
      </c>
      <c r="H7">
        <f t="shared" si="0"/>
        <v>2.5</v>
      </c>
      <c r="I7">
        <f t="shared" si="1"/>
        <v>2</v>
      </c>
      <c r="J7">
        <f t="shared" si="2"/>
        <v>6</v>
      </c>
    </row>
    <row r="8" spans="1:10" x14ac:dyDescent="0.3">
      <c r="A8" s="1">
        <v>111001</v>
      </c>
      <c r="B8">
        <v>57</v>
      </c>
      <c r="C8" s="2">
        <v>6</v>
      </c>
      <c r="D8" t="s">
        <v>13</v>
      </c>
      <c r="E8" s="2">
        <v>1</v>
      </c>
      <c r="F8">
        <v>10.700148344039899</v>
      </c>
      <c r="G8">
        <v>2.02710962295532</v>
      </c>
      <c r="H8">
        <f t="shared" si="0"/>
        <v>3</v>
      </c>
      <c r="I8">
        <f t="shared" si="1"/>
        <v>1</v>
      </c>
      <c r="J8">
        <f t="shared" si="2"/>
        <v>8</v>
      </c>
    </row>
    <row r="9" spans="1:10" x14ac:dyDescent="0.3">
      <c r="A9" s="1">
        <v>1100010</v>
      </c>
      <c r="B9">
        <v>98</v>
      </c>
      <c r="C9" s="2">
        <v>7</v>
      </c>
      <c r="D9" t="s">
        <v>14</v>
      </c>
      <c r="E9" s="2">
        <v>2</v>
      </c>
      <c r="F9">
        <v>10.303189754486</v>
      </c>
      <c r="G9">
        <v>2.5558769702911301</v>
      </c>
      <c r="H9">
        <f t="shared" si="0"/>
        <v>3.5</v>
      </c>
      <c r="I9">
        <f t="shared" si="1"/>
        <v>2</v>
      </c>
      <c r="J9">
        <f t="shared" si="2"/>
        <v>11</v>
      </c>
    </row>
    <row r="10" spans="1:10" x14ac:dyDescent="0.3">
      <c r="A10" s="1">
        <v>111</v>
      </c>
      <c r="B10">
        <v>7</v>
      </c>
      <c r="C10" s="2">
        <v>8</v>
      </c>
      <c r="D10" t="s">
        <v>15</v>
      </c>
      <c r="E10" s="2">
        <v>1</v>
      </c>
      <c r="F10">
        <v>10.9007985591888</v>
      </c>
      <c r="G10">
        <v>2.15271639823913</v>
      </c>
      <c r="H10">
        <f t="shared" si="0"/>
        <v>4</v>
      </c>
      <c r="I10">
        <f t="shared" si="1"/>
        <v>1</v>
      </c>
      <c r="J10">
        <f t="shared" si="2"/>
        <v>16</v>
      </c>
    </row>
    <row r="11" spans="1:10" x14ac:dyDescent="0.3">
      <c r="A11" s="1">
        <v>10011011</v>
      </c>
      <c r="B11">
        <v>155</v>
      </c>
      <c r="C11" s="2">
        <v>9</v>
      </c>
      <c r="D11" t="s">
        <v>16</v>
      </c>
      <c r="E11" s="2">
        <v>8</v>
      </c>
      <c r="F11">
        <v>10.6964495182037</v>
      </c>
      <c r="G11">
        <v>3.76178979873657</v>
      </c>
      <c r="H11">
        <f t="shared" si="0"/>
        <v>4.5</v>
      </c>
      <c r="I11">
        <f t="shared" si="1"/>
        <v>8</v>
      </c>
      <c r="J11">
        <f t="shared" si="2"/>
        <v>23</v>
      </c>
    </row>
    <row r="12" spans="1:10" x14ac:dyDescent="0.3">
      <c r="A12" s="1">
        <v>1011011110</v>
      </c>
      <c r="B12">
        <v>734</v>
      </c>
      <c r="C12" s="2">
        <v>10</v>
      </c>
      <c r="D12" t="s">
        <v>17</v>
      </c>
      <c r="E12" s="2">
        <v>2</v>
      </c>
      <c r="F12">
        <v>9.9735348224639893</v>
      </c>
      <c r="G12">
        <v>2.3370440006256099</v>
      </c>
      <c r="H12">
        <f t="shared" si="0"/>
        <v>5</v>
      </c>
      <c r="I12">
        <f t="shared" si="1"/>
        <v>2</v>
      </c>
      <c r="J12">
        <f t="shared" si="2"/>
        <v>32</v>
      </c>
    </row>
    <row r="13" spans="1:10" x14ac:dyDescent="0.3">
      <c r="A13" s="1">
        <v>1011010111</v>
      </c>
      <c r="B13">
        <v>727</v>
      </c>
      <c r="C13" s="2">
        <v>11</v>
      </c>
      <c r="D13" t="s">
        <v>18</v>
      </c>
      <c r="E13" s="2">
        <v>72</v>
      </c>
      <c r="F13">
        <v>10.7473554611206</v>
      </c>
      <c r="G13">
        <v>23.6455545425415</v>
      </c>
      <c r="H13">
        <f t="shared" si="0"/>
        <v>5.5</v>
      </c>
      <c r="I13">
        <f t="shared" si="1"/>
        <v>72</v>
      </c>
      <c r="J13">
        <f t="shared" si="2"/>
        <v>45</v>
      </c>
    </row>
    <row r="14" spans="1:10" x14ac:dyDescent="0.3">
      <c r="A14" s="1">
        <v>101000000100</v>
      </c>
      <c r="B14">
        <v>2564</v>
      </c>
      <c r="C14" s="2">
        <v>12</v>
      </c>
      <c r="D14" t="s">
        <v>19</v>
      </c>
      <c r="E14" s="2">
        <v>2</v>
      </c>
      <c r="F14">
        <v>10.749947309494001</v>
      </c>
      <c r="G14">
        <v>2.34342312812805</v>
      </c>
      <c r="H14">
        <f t="shared" si="0"/>
        <v>6</v>
      </c>
      <c r="I14">
        <f t="shared" si="1"/>
        <v>2</v>
      </c>
      <c r="J14">
        <f t="shared" si="2"/>
        <v>64</v>
      </c>
    </row>
    <row r="15" spans="1:10" x14ac:dyDescent="0.3">
      <c r="A15" s="1">
        <v>110010</v>
      </c>
      <c r="B15">
        <v>50</v>
      </c>
      <c r="C15" s="2">
        <v>13</v>
      </c>
      <c r="D15" t="s">
        <v>20</v>
      </c>
      <c r="E15" s="2">
        <v>36</v>
      </c>
      <c r="F15">
        <v>10.772037744522001</v>
      </c>
      <c r="G15">
        <v>12.247134685516301</v>
      </c>
      <c r="H15">
        <f t="shared" si="0"/>
        <v>6.5</v>
      </c>
      <c r="I15">
        <f t="shared" si="1"/>
        <v>36</v>
      </c>
      <c r="J15">
        <f t="shared" si="2"/>
        <v>91</v>
      </c>
    </row>
    <row r="16" spans="1:10" x14ac:dyDescent="0.3">
      <c r="A16" s="1">
        <v>10000100001010</v>
      </c>
      <c r="B16">
        <v>8458</v>
      </c>
      <c r="C16" s="2">
        <v>14</v>
      </c>
      <c r="D16" t="s">
        <v>21</v>
      </c>
      <c r="E16" s="2">
        <v>1097</v>
      </c>
      <c r="F16">
        <v>9.8610632419586093</v>
      </c>
      <c r="G16">
        <v>332.28854513168301</v>
      </c>
      <c r="H16">
        <f t="shared" si="0"/>
        <v>7</v>
      </c>
      <c r="I16">
        <f t="shared" si="1"/>
        <v>1097</v>
      </c>
      <c r="J16">
        <f t="shared" si="2"/>
        <v>128</v>
      </c>
    </row>
    <row r="17" spans="1:10" s="4" customFormat="1" ht="15.6" x14ac:dyDescent="0.3">
      <c r="A17" s="3" t="s">
        <v>22</v>
      </c>
      <c r="H17">
        <f t="shared" ref="H17:H71" si="3">C17/2</f>
        <v>0</v>
      </c>
      <c r="I17">
        <f t="shared" ref="I17:I71" si="4">E17</f>
        <v>0</v>
      </c>
      <c r="J17">
        <f t="shared" si="2"/>
        <v>1</v>
      </c>
    </row>
    <row r="18" spans="1:10" s="4" customFormat="1" ht="15.6" x14ac:dyDescent="0.3">
      <c r="A18" s="3" t="s">
        <v>1</v>
      </c>
      <c r="B18" s="4" t="s">
        <v>2</v>
      </c>
      <c r="C18" s="4" t="s">
        <v>3</v>
      </c>
      <c r="D18" s="4" t="s">
        <v>4</v>
      </c>
      <c r="E18" s="4" t="s">
        <v>5</v>
      </c>
      <c r="F18" s="4" t="s">
        <v>6</v>
      </c>
      <c r="G18" s="4" t="s">
        <v>7</v>
      </c>
      <c r="H18" t="e">
        <f t="shared" si="3"/>
        <v>#VALUE!</v>
      </c>
      <c r="I18" t="str">
        <f t="shared" si="4"/>
        <v>attack_iterations</v>
      </c>
      <c r="J18" t="e">
        <f t="shared" si="2"/>
        <v>#VALUE!</v>
      </c>
    </row>
    <row r="19" spans="1:10" x14ac:dyDescent="0.3">
      <c r="A19" s="1">
        <v>1</v>
      </c>
      <c r="B19">
        <v>1</v>
      </c>
      <c r="C19" s="2">
        <v>1</v>
      </c>
      <c r="D19" t="s">
        <v>23</v>
      </c>
      <c r="E19" s="2">
        <v>1</v>
      </c>
      <c r="F19">
        <v>7.52933526039123</v>
      </c>
      <c r="G19">
        <v>0.45285677909851002</v>
      </c>
      <c r="H19">
        <f t="shared" si="3"/>
        <v>0.5</v>
      </c>
      <c r="I19">
        <f t="shared" si="4"/>
        <v>1</v>
      </c>
      <c r="J19">
        <f t="shared" si="2"/>
        <v>1</v>
      </c>
    </row>
    <row r="20" spans="1:10" x14ac:dyDescent="0.3">
      <c r="A20" s="1">
        <v>11</v>
      </c>
      <c r="B20">
        <v>3</v>
      </c>
      <c r="C20" s="2">
        <v>2</v>
      </c>
      <c r="D20" t="s">
        <v>24</v>
      </c>
      <c r="E20" s="2">
        <v>3</v>
      </c>
      <c r="F20">
        <v>7.4235715866088796</v>
      </c>
      <c r="G20">
        <v>0.58160829544067305</v>
      </c>
      <c r="H20">
        <f t="shared" si="3"/>
        <v>1</v>
      </c>
      <c r="I20">
        <f t="shared" si="4"/>
        <v>3</v>
      </c>
      <c r="J20">
        <f t="shared" si="2"/>
        <v>2</v>
      </c>
    </row>
    <row r="21" spans="1:10" x14ac:dyDescent="0.3">
      <c r="A21" s="1">
        <v>0</v>
      </c>
      <c r="B21">
        <v>0</v>
      </c>
      <c r="C21" s="2">
        <v>3</v>
      </c>
      <c r="D21" t="s">
        <v>25</v>
      </c>
      <c r="E21" s="2">
        <v>2</v>
      </c>
      <c r="F21">
        <v>7.6565992832183802</v>
      </c>
      <c r="G21">
        <v>0.59387183189392001</v>
      </c>
      <c r="H21">
        <f t="shared" si="3"/>
        <v>1.5</v>
      </c>
      <c r="I21">
        <f t="shared" si="4"/>
        <v>2</v>
      </c>
      <c r="J21">
        <f t="shared" si="2"/>
        <v>3</v>
      </c>
    </row>
    <row r="22" spans="1:10" x14ac:dyDescent="0.3">
      <c r="A22" s="1">
        <v>111</v>
      </c>
      <c r="B22">
        <v>7</v>
      </c>
      <c r="C22" s="2">
        <v>4</v>
      </c>
      <c r="D22" t="s">
        <v>26</v>
      </c>
      <c r="E22" s="2">
        <v>1</v>
      </c>
      <c r="F22">
        <v>8.2131485939025808</v>
      </c>
      <c r="G22">
        <v>0.463084936141967</v>
      </c>
      <c r="H22">
        <f t="shared" si="3"/>
        <v>2</v>
      </c>
      <c r="I22">
        <f t="shared" si="4"/>
        <v>1</v>
      </c>
      <c r="J22">
        <f t="shared" si="2"/>
        <v>4</v>
      </c>
    </row>
    <row r="23" spans="1:10" x14ac:dyDescent="0.3">
      <c r="A23" s="1">
        <v>11000</v>
      </c>
      <c r="B23">
        <v>24</v>
      </c>
      <c r="C23" s="2">
        <v>5</v>
      </c>
      <c r="D23" t="s">
        <v>27</v>
      </c>
      <c r="E23" s="2">
        <v>30</v>
      </c>
      <c r="F23">
        <v>8.2775793075561506</v>
      </c>
      <c r="G23">
        <v>3.5105531215667698</v>
      </c>
      <c r="H23">
        <f t="shared" si="3"/>
        <v>2.5</v>
      </c>
      <c r="I23">
        <f t="shared" si="4"/>
        <v>30</v>
      </c>
      <c r="J23">
        <f t="shared" si="2"/>
        <v>6</v>
      </c>
    </row>
    <row r="24" spans="1:10" x14ac:dyDescent="0.3">
      <c r="A24" s="1">
        <v>111000</v>
      </c>
      <c r="B24">
        <v>56</v>
      </c>
      <c r="C24" s="2">
        <v>6</v>
      </c>
      <c r="D24" t="s">
        <v>28</v>
      </c>
      <c r="E24" s="2">
        <v>1</v>
      </c>
      <c r="F24">
        <v>7.9873290061950604</v>
      </c>
      <c r="G24">
        <v>0.58789205551147405</v>
      </c>
      <c r="H24">
        <f t="shared" si="3"/>
        <v>3</v>
      </c>
      <c r="I24">
        <f t="shared" si="4"/>
        <v>1</v>
      </c>
      <c r="J24">
        <f t="shared" si="2"/>
        <v>8</v>
      </c>
    </row>
    <row r="25" spans="1:10" x14ac:dyDescent="0.3">
      <c r="A25" s="1">
        <v>110111</v>
      </c>
      <c r="B25">
        <v>55</v>
      </c>
      <c r="C25" s="2">
        <v>7</v>
      </c>
      <c r="D25" t="s">
        <v>29</v>
      </c>
      <c r="E25" s="2">
        <v>1</v>
      </c>
      <c r="F25">
        <v>7.7624788284301696</v>
      </c>
      <c r="G25">
        <v>0.44928002357482899</v>
      </c>
      <c r="H25">
        <f t="shared" si="3"/>
        <v>3.5</v>
      </c>
      <c r="I25">
        <f t="shared" si="4"/>
        <v>1</v>
      </c>
      <c r="J25">
        <f t="shared" si="2"/>
        <v>11</v>
      </c>
    </row>
    <row r="26" spans="1:10" x14ac:dyDescent="0.3">
      <c r="A26" s="1">
        <v>10010100</v>
      </c>
      <c r="B26">
        <v>148</v>
      </c>
      <c r="C26" s="2">
        <v>8</v>
      </c>
      <c r="D26" t="s">
        <v>30</v>
      </c>
      <c r="E26" s="2">
        <v>1</v>
      </c>
      <c r="F26">
        <v>9.0708723068237305</v>
      </c>
      <c r="G26">
        <v>0.47900390625</v>
      </c>
      <c r="H26">
        <f t="shared" si="3"/>
        <v>4</v>
      </c>
      <c r="I26">
        <f t="shared" si="4"/>
        <v>1</v>
      </c>
      <c r="J26">
        <f t="shared" si="2"/>
        <v>16</v>
      </c>
    </row>
    <row r="27" spans="1:10" x14ac:dyDescent="0.3">
      <c r="A27" s="1">
        <v>10101111</v>
      </c>
      <c r="B27">
        <v>175</v>
      </c>
      <c r="C27" s="2">
        <v>9</v>
      </c>
      <c r="D27" t="s">
        <v>31</v>
      </c>
      <c r="E27" s="2">
        <v>12</v>
      </c>
      <c r="F27">
        <v>9.3926122188568097</v>
      </c>
      <c r="G27">
        <v>2.2701344490051198</v>
      </c>
      <c r="H27">
        <f t="shared" si="3"/>
        <v>4.5</v>
      </c>
      <c r="I27">
        <f t="shared" si="4"/>
        <v>12</v>
      </c>
      <c r="J27">
        <f t="shared" si="2"/>
        <v>23</v>
      </c>
    </row>
    <row r="28" spans="1:10" x14ac:dyDescent="0.3">
      <c r="A28" s="1">
        <v>110111100</v>
      </c>
      <c r="B28">
        <v>444</v>
      </c>
      <c r="C28" s="2">
        <v>10</v>
      </c>
      <c r="D28" t="s">
        <v>32</v>
      </c>
      <c r="E28" s="2">
        <v>132</v>
      </c>
      <c r="F28">
        <v>7.9391329288482604</v>
      </c>
      <c r="G28">
        <v>13.981899023056</v>
      </c>
      <c r="H28">
        <f t="shared" si="3"/>
        <v>5</v>
      </c>
      <c r="I28">
        <f t="shared" si="4"/>
        <v>132</v>
      </c>
      <c r="J28">
        <f t="shared" si="2"/>
        <v>32</v>
      </c>
    </row>
    <row r="29" spans="1:10" x14ac:dyDescent="0.3">
      <c r="A29" s="1">
        <v>1011110110</v>
      </c>
      <c r="B29">
        <v>758</v>
      </c>
      <c r="C29" s="2">
        <v>11</v>
      </c>
      <c r="D29" t="s">
        <v>33</v>
      </c>
      <c r="E29" s="2">
        <v>557</v>
      </c>
      <c r="F29">
        <v>8.3365552425384504</v>
      </c>
      <c r="G29">
        <v>57.535682678222599</v>
      </c>
      <c r="H29">
        <f t="shared" si="3"/>
        <v>5.5</v>
      </c>
      <c r="I29">
        <f t="shared" si="4"/>
        <v>557</v>
      </c>
      <c r="J29">
        <f t="shared" si="2"/>
        <v>45</v>
      </c>
    </row>
    <row r="30" spans="1:10" x14ac:dyDescent="0.3">
      <c r="A30" s="1">
        <v>111100001001</v>
      </c>
      <c r="B30">
        <v>3849</v>
      </c>
      <c r="C30" s="2">
        <v>12</v>
      </c>
      <c r="D30" t="s">
        <v>34</v>
      </c>
      <c r="E30" s="2">
        <v>40</v>
      </c>
      <c r="F30">
        <v>8.7632627487182599</v>
      </c>
      <c r="G30">
        <v>5.8839099407196001</v>
      </c>
      <c r="H30">
        <f t="shared" si="3"/>
        <v>6</v>
      </c>
      <c r="I30">
        <f t="shared" si="4"/>
        <v>40</v>
      </c>
      <c r="J30">
        <f t="shared" si="2"/>
        <v>64</v>
      </c>
    </row>
    <row r="31" spans="1:10" x14ac:dyDescent="0.3">
      <c r="A31" s="1">
        <v>100100000001</v>
      </c>
      <c r="B31">
        <v>2305</v>
      </c>
      <c r="C31" s="2">
        <v>13</v>
      </c>
      <c r="D31" t="s">
        <v>35</v>
      </c>
      <c r="E31" s="2">
        <v>368</v>
      </c>
      <c r="F31">
        <v>8.4715476036071706</v>
      </c>
      <c r="G31">
        <v>45.693550825118997</v>
      </c>
      <c r="H31">
        <f t="shared" si="3"/>
        <v>6.5</v>
      </c>
      <c r="I31">
        <f t="shared" si="4"/>
        <v>368</v>
      </c>
      <c r="J31">
        <f t="shared" si="2"/>
        <v>91</v>
      </c>
    </row>
    <row r="32" spans="1:10" x14ac:dyDescent="0.3">
      <c r="A32" s="1">
        <v>1010100100001</v>
      </c>
      <c r="B32">
        <v>5409</v>
      </c>
      <c r="C32" s="2">
        <v>14</v>
      </c>
      <c r="D32" t="s">
        <v>36</v>
      </c>
      <c r="E32" s="2">
        <v>464</v>
      </c>
      <c r="F32">
        <v>8.3334524631500209</v>
      </c>
      <c r="G32">
        <v>50.964523553848203</v>
      </c>
      <c r="H32">
        <f t="shared" si="3"/>
        <v>7</v>
      </c>
      <c r="I32">
        <f t="shared" si="4"/>
        <v>464</v>
      </c>
      <c r="J32">
        <f t="shared" si="2"/>
        <v>128</v>
      </c>
    </row>
    <row r="33" spans="1:10" s="4" customFormat="1" ht="15.6" x14ac:dyDescent="0.3">
      <c r="A33" s="3" t="s">
        <v>37</v>
      </c>
      <c r="H33">
        <f t="shared" si="3"/>
        <v>0</v>
      </c>
      <c r="I33">
        <f t="shared" si="4"/>
        <v>0</v>
      </c>
      <c r="J33">
        <f t="shared" si="2"/>
        <v>1</v>
      </c>
    </row>
    <row r="34" spans="1:10" s="4" customFormat="1" ht="15.6" x14ac:dyDescent="0.3">
      <c r="A34" s="3" t="s">
        <v>1</v>
      </c>
      <c r="B34" s="4" t="s">
        <v>2</v>
      </c>
      <c r="C34" s="4" t="s">
        <v>3</v>
      </c>
      <c r="D34" s="4" t="s">
        <v>4</v>
      </c>
      <c r="E34" s="4" t="s">
        <v>5</v>
      </c>
      <c r="F34" s="4" t="s">
        <v>6</v>
      </c>
      <c r="G34" s="4" t="s">
        <v>7</v>
      </c>
      <c r="H34" t="e">
        <f t="shared" si="3"/>
        <v>#VALUE!</v>
      </c>
      <c r="I34" t="str">
        <f t="shared" si="4"/>
        <v>attack_iterations</v>
      </c>
      <c r="J34" t="e">
        <f t="shared" si="2"/>
        <v>#VALUE!</v>
      </c>
    </row>
    <row r="35" spans="1:10" x14ac:dyDescent="0.3">
      <c r="A35" s="1">
        <v>1</v>
      </c>
      <c r="B35">
        <v>1</v>
      </c>
      <c r="C35" s="2">
        <v>1</v>
      </c>
      <c r="D35" t="s">
        <v>38</v>
      </c>
      <c r="E35" s="2">
        <v>1</v>
      </c>
      <c r="F35">
        <v>14.256607294082601</v>
      </c>
      <c r="G35">
        <v>1.91725420951843</v>
      </c>
      <c r="H35">
        <f t="shared" si="3"/>
        <v>0.5</v>
      </c>
      <c r="I35">
        <f t="shared" si="4"/>
        <v>1</v>
      </c>
      <c r="J35">
        <f t="shared" si="2"/>
        <v>1</v>
      </c>
    </row>
    <row r="36" spans="1:10" x14ac:dyDescent="0.3">
      <c r="A36" s="1">
        <v>1</v>
      </c>
      <c r="B36">
        <v>1</v>
      </c>
      <c r="C36" s="2">
        <v>2</v>
      </c>
      <c r="D36" t="s">
        <v>39</v>
      </c>
      <c r="E36" s="2">
        <v>1</v>
      </c>
      <c r="F36">
        <v>13.7147660255432</v>
      </c>
      <c r="G36">
        <v>1.799076795578</v>
      </c>
      <c r="H36">
        <f t="shared" si="3"/>
        <v>1</v>
      </c>
      <c r="I36">
        <f t="shared" si="4"/>
        <v>1</v>
      </c>
      <c r="J36">
        <f t="shared" si="2"/>
        <v>2</v>
      </c>
    </row>
    <row r="37" spans="1:10" x14ac:dyDescent="0.3">
      <c r="A37" s="1">
        <v>100</v>
      </c>
      <c r="B37">
        <v>4</v>
      </c>
      <c r="C37" s="2">
        <v>3</v>
      </c>
      <c r="D37" t="s">
        <v>40</v>
      </c>
      <c r="E37" s="2">
        <v>1</v>
      </c>
      <c r="F37">
        <v>13.3083357810974</v>
      </c>
      <c r="G37">
        <v>2.11122393608093</v>
      </c>
      <c r="H37">
        <f t="shared" si="3"/>
        <v>1.5</v>
      </c>
      <c r="I37">
        <f t="shared" si="4"/>
        <v>1</v>
      </c>
      <c r="J37">
        <f t="shared" si="2"/>
        <v>3</v>
      </c>
    </row>
    <row r="38" spans="1:10" x14ac:dyDescent="0.3">
      <c r="A38" s="1">
        <v>1001</v>
      </c>
      <c r="B38">
        <v>9</v>
      </c>
      <c r="C38" s="2">
        <v>4</v>
      </c>
      <c r="D38" t="s">
        <v>41</v>
      </c>
      <c r="E38" s="2">
        <v>1</v>
      </c>
      <c r="F38">
        <v>14.6014795303344</v>
      </c>
      <c r="G38">
        <v>1.7826898097991899</v>
      </c>
      <c r="H38">
        <f t="shared" si="3"/>
        <v>2</v>
      </c>
      <c r="I38">
        <f t="shared" si="4"/>
        <v>1</v>
      </c>
      <c r="J38">
        <f t="shared" si="2"/>
        <v>4</v>
      </c>
    </row>
    <row r="39" spans="1:10" x14ac:dyDescent="0.3">
      <c r="A39" s="1">
        <v>11100</v>
      </c>
      <c r="B39">
        <v>28</v>
      </c>
      <c r="C39" s="2">
        <v>5</v>
      </c>
      <c r="D39" t="s">
        <v>42</v>
      </c>
      <c r="E39" s="2">
        <v>1</v>
      </c>
      <c r="F39">
        <v>14.2028408050537</v>
      </c>
      <c r="G39">
        <v>1.69069075584411</v>
      </c>
      <c r="H39">
        <f t="shared" si="3"/>
        <v>2.5</v>
      </c>
      <c r="I39">
        <f t="shared" si="4"/>
        <v>1</v>
      </c>
      <c r="J39">
        <f t="shared" si="2"/>
        <v>6</v>
      </c>
    </row>
    <row r="40" spans="1:10" x14ac:dyDescent="0.3">
      <c r="A40" s="1">
        <v>11000</v>
      </c>
      <c r="B40">
        <v>24</v>
      </c>
      <c r="C40" s="2">
        <v>6</v>
      </c>
      <c r="D40" t="s">
        <v>43</v>
      </c>
      <c r="E40" s="2">
        <v>2</v>
      </c>
      <c r="F40">
        <v>14.599782943725501</v>
      </c>
      <c r="G40">
        <v>2.5455105304718</v>
      </c>
      <c r="H40">
        <f t="shared" si="3"/>
        <v>3</v>
      </c>
      <c r="I40">
        <f t="shared" si="4"/>
        <v>2</v>
      </c>
      <c r="J40">
        <f t="shared" si="2"/>
        <v>8</v>
      </c>
    </row>
    <row r="41" spans="1:10" x14ac:dyDescent="0.3">
      <c r="A41" s="1">
        <v>1010101</v>
      </c>
      <c r="B41">
        <v>85</v>
      </c>
      <c r="C41" s="2">
        <v>7</v>
      </c>
      <c r="D41" t="s">
        <v>44</v>
      </c>
      <c r="E41" s="2">
        <v>1</v>
      </c>
      <c r="F41">
        <v>13.5737285614013</v>
      </c>
      <c r="G41">
        <v>1.77105140686035</v>
      </c>
      <c r="H41">
        <f t="shared" si="3"/>
        <v>3.5</v>
      </c>
      <c r="I41">
        <f t="shared" si="4"/>
        <v>1</v>
      </c>
      <c r="J41">
        <f t="shared" si="2"/>
        <v>11</v>
      </c>
    </row>
    <row r="42" spans="1:10" x14ac:dyDescent="0.3">
      <c r="A42" s="1">
        <v>11010001</v>
      </c>
      <c r="B42">
        <v>209</v>
      </c>
      <c r="C42" s="2">
        <v>8</v>
      </c>
      <c r="D42" t="s">
        <v>45</v>
      </c>
      <c r="E42" s="2">
        <v>8</v>
      </c>
      <c r="F42">
        <v>13.085231781005801</v>
      </c>
      <c r="G42">
        <v>5.0401768684387198</v>
      </c>
      <c r="H42">
        <f t="shared" si="3"/>
        <v>4</v>
      </c>
      <c r="I42">
        <f t="shared" si="4"/>
        <v>8</v>
      </c>
      <c r="J42">
        <f t="shared" si="2"/>
        <v>16</v>
      </c>
    </row>
    <row r="43" spans="1:10" x14ac:dyDescent="0.3">
      <c r="A43" s="1">
        <v>11011111</v>
      </c>
      <c r="B43">
        <v>223</v>
      </c>
      <c r="C43" s="2">
        <v>9</v>
      </c>
      <c r="D43" t="s">
        <v>46</v>
      </c>
      <c r="E43" s="2">
        <v>1</v>
      </c>
      <c r="F43">
        <v>13.979359149932799</v>
      </c>
      <c r="G43">
        <v>1.9390954971313401</v>
      </c>
      <c r="H43">
        <f t="shared" si="3"/>
        <v>4.5</v>
      </c>
      <c r="I43">
        <f t="shared" si="4"/>
        <v>1</v>
      </c>
      <c r="J43">
        <f t="shared" si="2"/>
        <v>23</v>
      </c>
    </row>
    <row r="44" spans="1:10" x14ac:dyDescent="0.3">
      <c r="A44" s="1">
        <v>1111</v>
      </c>
      <c r="B44">
        <v>15</v>
      </c>
      <c r="C44" s="2">
        <v>10</v>
      </c>
      <c r="D44" t="s">
        <v>47</v>
      </c>
      <c r="E44" s="2">
        <v>1</v>
      </c>
      <c r="F44">
        <v>13.4507503509521</v>
      </c>
      <c r="G44">
        <v>2.02184557914733</v>
      </c>
      <c r="H44">
        <f t="shared" si="3"/>
        <v>5</v>
      </c>
      <c r="I44">
        <f t="shared" si="4"/>
        <v>1</v>
      </c>
      <c r="J44">
        <f t="shared" si="2"/>
        <v>32</v>
      </c>
    </row>
    <row r="45" spans="1:10" x14ac:dyDescent="0.3">
      <c r="A45" s="1">
        <v>11111001011</v>
      </c>
      <c r="B45">
        <v>1995</v>
      </c>
      <c r="C45" s="2">
        <v>11</v>
      </c>
      <c r="D45" t="s">
        <v>48</v>
      </c>
      <c r="E45" s="2">
        <v>800</v>
      </c>
      <c r="F45">
        <v>13.488673448562601</v>
      </c>
      <c r="G45">
        <v>289.94415187835602</v>
      </c>
      <c r="H45">
        <f t="shared" si="3"/>
        <v>5.5</v>
      </c>
      <c r="I45">
        <f t="shared" si="4"/>
        <v>800</v>
      </c>
      <c r="J45">
        <f t="shared" si="2"/>
        <v>45</v>
      </c>
    </row>
    <row r="46" spans="1:10" x14ac:dyDescent="0.3">
      <c r="A46" s="1">
        <v>10100010000</v>
      </c>
      <c r="B46">
        <v>1296</v>
      </c>
      <c r="C46" s="2">
        <v>12</v>
      </c>
      <c r="D46" t="s">
        <v>49</v>
      </c>
      <c r="E46" s="2">
        <v>1</v>
      </c>
      <c r="F46">
        <v>9.2949848175048793</v>
      </c>
      <c r="G46">
        <v>2.3119730949401802</v>
      </c>
      <c r="H46">
        <f t="shared" si="3"/>
        <v>6</v>
      </c>
      <c r="I46">
        <f t="shared" si="4"/>
        <v>1</v>
      </c>
      <c r="J46">
        <f t="shared" si="2"/>
        <v>64</v>
      </c>
    </row>
    <row r="47" spans="1:10" x14ac:dyDescent="0.3">
      <c r="A47" s="1">
        <v>11100111001</v>
      </c>
      <c r="B47">
        <v>1849</v>
      </c>
      <c r="C47" s="2">
        <v>13</v>
      </c>
      <c r="D47" t="s">
        <v>50</v>
      </c>
      <c r="E47" s="2">
        <v>1</v>
      </c>
      <c r="F47">
        <v>8.2252779006958008</v>
      </c>
      <c r="G47">
        <v>1.83484387397766</v>
      </c>
      <c r="H47">
        <f t="shared" si="3"/>
        <v>6.5</v>
      </c>
      <c r="I47">
        <f t="shared" si="4"/>
        <v>1</v>
      </c>
      <c r="J47">
        <f t="shared" si="2"/>
        <v>91</v>
      </c>
    </row>
    <row r="48" spans="1:10" x14ac:dyDescent="0.3">
      <c r="A48" s="1">
        <v>1100100101111</v>
      </c>
      <c r="B48">
        <v>6447</v>
      </c>
      <c r="C48" s="2">
        <v>14</v>
      </c>
      <c r="D48" t="s">
        <v>51</v>
      </c>
      <c r="E48" s="2">
        <v>16</v>
      </c>
      <c r="F48">
        <v>9.25522637367248</v>
      </c>
      <c r="G48">
        <v>7.8543181419372496</v>
      </c>
      <c r="H48">
        <f t="shared" si="3"/>
        <v>7</v>
      </c>
      <c r="I48">
        <f t="shared" si="4"/>
        <v>16</v>
      </c>
      <c r="J48">
        <f t="shared" si="2"/>
        <v>128</v>
      </c>
    </row>
    <row r="49" spans="1:10" s="4" customFormat="1" ht="15.6" x14ac:dyDescent="0.3">
      <c r="A49" s="3" t="s">
        <v>52</v>
      </c>
      <c r="H49">
        <f t="shared" si="3"/>
        <v>0</v>
      </c>
      <c r="I49">
        <f t="shared" si="4"/>
        <v>0</v>
      </c>
      <c r="J49">
        <f t="shared" si="2"/>
        <v>1</v>
      </c>
    </row>
    <row r="50" spans="1:10" s="4" customFormat="1" ht="15.6" x14ac:dyDescent="0.3">
      <c r="A50" s="3" t="s">
        <v>1</v>
      </c>
      <c r="B50" s="4" t="s">
        <v>2</v>
      </c>
      <c r="C50" s="4" t="s">
        <v>3</v>
      </c>
      <c r="D50" s="4" t="s">
        <v>4</v>
      </c>
      <c r="E50" s="4" t="s">
        <v>5</v>
      </c>
      <c r="F50" s="4" t="s">
        <v>6</v>
      </c>
      <c r="G50" s="4" t="s">
        <v>7</v>
      </c>
      <c r="H50" t="e">
        <f t="shared" si="3"/>
        <v>#VALUE!</v>
      </c>
      <c r="I50" t="str">
        <f t="shared" si="4"/>
        <v>attack_iterations</v>
      </c>
      <c r="J50" t="e">
        <f t="shared" si="2"/>
        <v>#VALUE!</v>
      </c>
    </row>
    <row r="51" spans="1:10" x14ac:dyDescent="0.3">
      <c r="A51" s="1">
        <v>1</v>
      </c>
      <c r="B51">
        <v>1</v>
      </c>
      <c r="C51" s="2">
        <v>1</v>
      </c>
      <c r="D51" t="s">
        <v>53</v>
      </c>
      <c r="E51" s="2">
        <v>1</v>
      </c>
      <c r="F51">
        <v>1.81135582923889</v>
      </c>
      <c r="G51">
        <v>7.8200817108154297E-2</v>
      </c>
      <c r="H51">
        <f t="shared" si="3"/>
        <v>0.5</v>
      </c>
      <c r="I51">
        <f t="shared" si="4"/>
        <v>1</v>
      </c>
      <c r="J51">
        <f t="shared" si="2"/>
        <v>1</v>
      </c>
    </row>
    <row r="52" spans="1:10" x14ac:dyDescent="0.3">
      <c r="A52" s="1">
        <v>10</v>
      </c>
      <c r="B52">
        <v>2</v>
      </c>
      <c r="C52" s="2">
        <v>2</v>
      </c>
      <c r="D52" t="s">
        <v>54</v>
      </c>
      <c r="E52" s="2">
        <v>3</v>
      </c>
      <c r="F52">
        <v>1.6601521968841499</v>
      </c>
      <c r="G52">
        <v>0.106411457061767</v>
      </c>
      <c r="H52">
        <f t="shared" si="3"/>
        <v>1</v>
      </c>
      <c r="I52">
        <f t="shared" si="4"/>
        <v>3</v>
      </c>
      <c r="J52">
        <f t="shared" si="2"/>
        <v>2</v>
      </c>
    </row>
    <row r="53" spans="1:10" x14ac:dyDescent="0.3">
      <c r="A53" s="1">
        <v>100</v>
      </c>
      <c r="B53">
        <v>4</v>
      </c>
      <c r="C53" s="2">
        <v>3</v>
      </c>
      <c r="D53" t="s">
        <v>55</v>
      </c>
      <c r="E53" s="2">
        <v>2</v>
      </c>
      <c r="F53">
        <v>1.83299231529235</v>
      </c>
      <c r="G53">
        <v>0.114579677581787</v>
      </c>
      <c r="H53">
        <f t="shared" si="3"/>
        <v>1.5</v>
      </c>
      <c r="I53">
        <f t="shared" si="4"/>
        <v>2</v>
      </c>
      <c r="J53">
        <f t="shared" si="2"/>
        <v>3</v>
      </c>
    </row>
    <row r="54" spans="1:10" x14ac:dyDescent="0.3">
      <c r="A54" s="1">
        <v>1001</v>
      </c>
      <c r="B54">
        <v>9</v>
      </c>
      <c r="C54" s="2">
        <v>4</v>
      </c>
      <c r="D54" t="s">
        <v>56</v>
      </c>
      <c r="E54" s="2">
        <v>15</v>
      </c>
      <c r="F54">
        <v>1.9733669757843</v>
      </c>
      <c r="G54">
        <v>0.26606941223144498</v>
      </c>
      <c r="H54">
        <f t="shared" si="3"/>
        <v>2</v>
      </c>
      <c r="I54">
        <f t="shared" si="4"/>
        <v>15</v>
      </c>
      <c r="J54">
        <f t="shared" si="2"/>
        <v>4</v>
      </c>
    </row>
    <row r="55" spans="1:10" x14ac:dyDescent="0.3">
      <c r="A55" s="1">
        <v>100</v>
      </c>
      <c r="B55">
        <v>4</v>
      </c>
      <c r="C55" s="2">
        <v>5</v>
      </c>
      <c r="D55" t="s">
        <v>57</v>
      </c>
      <c r="E55" s="2">
        <v>19</v>
      </c>
      <c r="F55">
        <v>1.94019746780395</v>
      </c>
      <c r="G55">
        <v>0.39181351661682101</v>
      </c>
      <c r="H55">
        <f t="shared" si="3"/>
        <v>2.5</v>
      </c>
      <c r="I55">
        <f t="shared" si="4"/>
        <v>19</v>
      </c>
      <c r="J55">
        <f t="shared" si="2"/>
        <v>6</v>
      </c>
    </row>
    <row r="56" spans="1:10" s="4" customFormat="1" ht="15.6" x14ac:dyDescent="0.3">
      <c r="A56" s="3" t="s">
        <v>58</v>
      </c>
      <c r="H56">
        <f t="shared" si="3"/>
        <v>0</v>
      </c>
      <c r="I56">
        <f t="shared" si="4"/>
        <v>0</v>
      </c>
      <c r="J56">
        <f t="shared" si="2"/>
        <v>1</v>
      </c>
    </row>
    <row r="57" spans="1:10" s="4" customFormat="1" ht="15.6" x14ac:dyDescent="0.3">
      <c r="A57" s="3" t="s">
        <v>1</v>
      </c>
      <c r="B57" s="4" t="s">
        <v>2</v>
      </c>
      <c r="C57" s="4" t="s">
        <v>3</v>
      </c>
      <c r="D57" s="4" t="s">
        <v>4</v>
      </c>
      <c r="E57" s="4" t="s">
        <v>5</v>
      </c>
      <c r="F57" s="4" t="s">
        <v>6</v>
      </c>
      <c r="G57" s="4" t="s">
        <v>7</v>
      </c>
      <c r="H57" t="e">
        <f t="shared" si="3"/>
        <v>#VALUE!</v>
      </c>
      <c r="I57" t="str">
        <f t="shared" si="4"/>
        <v>attack_iterations</v>
      </c>
      <c r="J57" t="e">
        <f t="shared" si="2"/>
        <v>#VALUE!</v>
      </c>
    </row>
    <row r="58" spans="1:10" x14ac:dyDescent="0.3">
      <c r="A58" s="1">
        <v>0</v>
      </c>
      <c r="B58">
        <v>0</v>
      </c>
      <c r="C58" s="2">
        <v>1</v>
      </c>
      <c r="D58" t="s">
        <v>59</v>
      </c>
      <c r="E58" s="2">
        <v>1</v>
      </c>
      <c r="F58">
        <v>5.4481503963470397</v>
      </c>
      <c r="G58">
        <v>1.49317622184753</v>
      </c>
      <c r="H58">
        <f t="shared" si="3"/>
        <v>0.5</v>
      </c>
      <c r="I58">
        <f t="shared" si="4"/>
        <v>1</v>
      </c>
      <c r="J58">
        <f t="shared" si="2"/>
        <v>1</v>
      </c>
    </row>
    <row r="59" spans="1:10" x14ac:dyDescent="0.3">
      <c r="A59" s="1">
        <v>0</v>
      </c>
      <c r="B59">
        <v>0</v>
      </c>
      <c r="C59" s="2">
        <v>2</v>
      </c>
      <c r="D59" t="s">
        <v>60</v>
      </c>
      <c r="E59" s="2">
        <v>2</v>
      </c>
      <c r="F59">
        <v>5.4999976158142001</v>
      </c>
      <c r="G59">
        <v>2.2765343189239502</v>
      </c>
      <c r="H59">
        <f t="shared" si="3"/>
        <v>1</v>
      </c>
      <c r="I59">
        <f t="shared" si="4"/>
        <v>2</v>
      </c>
      <c r="J59">
        <f t="shared" si="2"/>
        <v>2</v>
      </c>
    </row>
    <row r="60" spans="1:10" x14ac:dyDescent="0.3">
      <c r="A60" s="1">
        <v>101</v>
      </c>
      <c r="B60">
        <v>5</v>
      </c>
      <c r="C60" s="2">
        <v>3</v>
      </c>
      <c r="D60" t="s">
        <v>61</v>
      </c>
      <c r="E60" s="2">
        <v>1</v>
      </c>
      <c r="F60">
        <v>5.6793115139007497</v>
      </c>
      <c r="G60">
        <v>1.55295085906982</v>
      </c>
      <c r="H60">
        <f t="shared" si="3"/>
        <v>1.5</v>
      </c>
      <c r="I60">
        <f t="shared" si="4"/>
        <v>1</v>
      </c>
      <c r="J60">
        <f t="shared" si="2"/>
        <v>3</v>
      </c>
    </row>
    <row r="61" spans="1:10" x14ac:dyDescent="0.3">
      <c r="A61" s="1">
        <v>1101</v>
      </c>
      <c r="B61">
        <v>13</v>
      </c>
      <c r="C61" s="2">
        <v>4</v>
      </c>
      <c r="D61" t="s">
        <v>62</v>
      </c>
      <c r="E61" s="2">
        <v>2</v>
      </c>
      <c r="F61">
        <v>5.4843239784240696</v>
      </c>
      <c r="G61">
        <v>1.9231879711151101</v>
      </c>
      <c r="H61">
        <f t="shared" si="3"/>
        <v>2</v>
      </c>
      <c r="I61">
        <f t="shared" si="4"/>
        <v>2</v>
      </c>
      <c r="J61">
        <f t="shared" si="2"/>
        <v>4</v>
      </c>
    </row>
    <row r="62" spans="1:10" x14ac:dyDescent="0.3">
      <c r="A62" s="1">
        <v>11111</v>
      </c>
      <c r="B62">
        <v>31</v>
      </c>
      <c r="C62" s="2">
        <v>5</v>
      </c>
      <c r="D62" t="s">
        <v>63</v>
      </c>
      <c r="E62" s="2">
        <v>1</v>
      </c>
      <c r="F62">
        <v>6.2937724590301496</v>
      </c>
      <c r="G62">
        <v>1.62335300445556</v>
      </c>
      <c r="H62">
        <f t="shared" si="3"/>
        <v>2.5</v>
      </c>
      <c r="I62">
        <f t="shared" si="4"/>
        <v>1</v>
      </c>
      <c r="J62">
        <f t="shared" si="2"/>
        <v>6</v>
      </c>
    </row>
    <row r="63" spans="1:10" x14ac:dyDescent="0.3">
      <c r="A63" s="1">
        <v>101110</v>
      </c>
      <c r="B63">
        <v>46</v>
      </c>
      <c r="C63" s="2">
        <v>6</v>
      </c>
      <c r="D63" t="s">
        <v>64</v>
      </c>
      <c r="E63" s="2">
        <v>1</v>
      </c>
      <c r="F63">
        <v>5.3788473606109601</v>
      </c>
      <c r="G63">
        <v>1.4757778644561701</v>
      </c>
      <c r="H63">
        <f t="shared" si="3"/>
        <v>3</v>
      </c>
      <c r="I63">
        <f t="shared" si="4"/>
        <v>1</v>
      </c>
      <c r="J63">
        <f t="shared" si="2"/>
        <v>8</v>
      </c>
    </row>
    <row r="64" spans="1:10" x14ac:dyDescent="0.3">
      <c r="A64" s="1">
        <v>1011000</v>
      </c>
      <c r="B64">
        <v>88</v>
      </c>
      <c r="C64" s="2">
        <v>7</v>
      </c>
      <c r="D64" t="s">
        <v>65</v>
      </c>
      <c r="E64" s="2">
        <v>1</v>
      </c>
      <c r="F64">
        <v>5.2700307369232098</v>
      </c>
      <c r="G64">
        <v>1.3693315982818599</v>
      </c>
      <c r="H64">
        <f t="shared" si="3"/>
        <v>3.5</v>
      </c>
      <c r="I64">
        <f t="shared" si="4"/>
        <v>1</v>
      </c>
      <c r="J64">
        <f t="shared" si="2"/>
        <v>11</v>
      </c>
    </row>
    <row r="65" spans="1:10" x14ac:dyDescent="0.3">
      <c r="A65" s="1">
        <v>11100110</v>
      </c>
      <c r="B65">
        <v>230</v>
      </c>
      <c r="C65" s="2">
        <v>8</v>
      </c>
      <c r="D65" t="s">
        <v>66</v>
      </c>
      <c r="E65" s="2">
        <v>34</v>
      </c>
      <c r="F65">
        <v>5.3311429023742596</v>
      </c>
      <c r="G65">
        <v>14.1111121177673</v>
      </c>
      <c r="H65">
        <f t="shared" si="3"/>
        <v>4</v>
      </c>
      <c r="I65">
        <f t="shared" si="4"/>
        <v>34</v>
      </c>
      <c r="J65">
        <f t="shared" si="2"/>
        <v>16</v>
      </c>
    </row>
    <row r="66" spans="1:10" x14ac:dyDescent="0.3">
      <c r="A66" s="1">
        <v>110011100</v>
      </c>
      <c r="B66">
        <v>412</v>
      </c>
      <c r="C66" s="2">
        <v>9</v>
      </c>
      <c r="D66" t="s">
        <v>67</v>
      </c>
      <c r="E66" s="2">
        <v>2</v>
      </c>
      <c r="F66">
        <v>5.41387915611267</v>
      </c>
      <c r="G66">
        <v>1.82708144187927</v>
      </c>
      <c r="H66">
        <f t="shared" si="3"/>
        <v>4.5</v>
      </c>
      <c r="I66">
        <f t="shared" si="4"/>
        <v>2</v>
      </c>
      <c r="J66">
        <f t="shared" si="2"/>
        <v>23</v>
      </c>
    </row>
    <row r="67" spans="1:10" x14ac:dyDescent="0.3">
      <c r="A67" s="1">
        <v>1111111111</v>
      </c>
      <c r="B67">
        <v>1023</v>
      </c>
      <c r="C67" s="2">
        <v>10</v>
      </c>
      <c r="D67" t="s">
        <v>68</v>
      </c>
      <c r="E67" s="2">
        <v>2</v>
      </c>
      <c r="F67">
        <v>5.3834941387176496</v>
      </c>
      <c r="G67">
        <v>1.8368752002716</v>
      </c>
      <c r="H67">
        <f t="shared" si="3"/>
        <v>5</v>
      </c>
      <c r="I67">
        <f t="shared" si="4"/>
        <v>2</v>
      </c>
      <c r="J67">
        <f t="shared" si="2"/>
        <v>32</v>
      </c>
    </row>
    <row r="68" spans="1:10" x14ac:dyDescent="0.3">
      <c r="A68" s="1">
        <v>11001111100</v>
      </c>
      <c r="B68">
        <v>1660</v>
      </c>
      <c r="C68" s="2">
        <v>11</v>
      </c>
      <c r="D68" t="s">
        <v>69</v>
      </c>
      <c r="E68" s="2">
        <v>8</v>
      </c>
      <c r="F68">
        <v>5.68361115455627</v>
      </c>
      <c r="G68">
        <v>4.1333973407745299</v>
      </c>
      <c r="H68">
        <f t="shared" si="3"/>
        <v>5.5</v>
      </c>
      <c r="I68">
        <f t="shared" si="4"/>
        <v>8</v>
      </c>
      <c r="J68">
        <f t="shared" ref="J68:J71" si="5">ROUND(2^(C68/2),0)</f>
        <v>45</v>
      </c>
    </row>
    <row r="69" spans="1:10" x14ac:dyDescent="0.3">
      <c r="A69" s="1">
        <v>10101100100</v>
      </c>
      <c r="B69">
        <v>1380</v>
      </c>
      <c r="C69" s="2">
        <v>12</v>
      </c>
      <c r="D69" t="s">
        <v>70</v>
      </c>
      <c r="E69" s="2">
        <v>1</v>
      </c>
      <c r="F69">
        <v>5.4864473342895499</v>
      </c>
      <c r="G69">
        <v>1.4432287216186499</v>
      </c>
      <c r="H69">
        <f t="shared" si="3"/>
        <v>6</v>
      </c>
      <c r="I69">
        <f t="shared" si="4"/>
        <v>1</v>
      </c>
      <c r="J69">
        <f t="shared" si="5"/>
        <v>64</v>
      </c>
    </row>
    <row r="70" spans="1:10" x14ac:dyDescent="0.3">
      <c r="A70" s="1">
        <v>110101111011</v>
      </c>
      <c r="B70">
        <v>3451</v>
      </c>
      <c r="C70" s="2">
        <v>13</v>
      </c>
      <c r="D70" t="s">
        <v>71</v>
      </c>
      <c r="E70" s="2">
        <v>751</v>
      </c>
      <c r="F70">
        <v>5.6621201038360596</v>
      </c>
      <c r="G70">
        <v>301.93534517288202</v>
      </c>
      <c r="H70">
        <f t="shared" si="3"/>
        <v>6.5</v>
      </c>
      <c r="I70">
        <f t="shared" si="4"/>
        <v>751</v>
      </c>
      <c r="J70">
        <f t="shared" si="5"/>
        <v>91</v>
      </c>
    </row>
    <row r="71" spans="1:10" x14ac:dyDescent="0.3">
      <c r="A71" s="1">
        <v>1000011110100</v>
      </c>
      <c r="B71">
        <v>4340</v>
      </c>
      <c r="C71" s="2">
        <v>14</v>
      </c>
      <c r="D71" t="s">
        <v>72</v>
      </c>
      <c r="E71" s="2">
        <v>6</v>
      </c>
      <c r="F71">
        <v>5.52093434333801</v>
      </c>
      <c r="G71">
        <v>3.41285967826843</v>
      </c>
      <c r="H71">
        <f t="shared" si="3"/>
        <v>7</v>
      </c>
      <c r="I71">
        <f t="shared" si="4"/>
        <v>6</v>
      </c>
      <c r="J71">
        <f t="shared" si="5"/>
        <v>128</v>
      </c>
    </row>
    <row r="75" spans="1:10" x14ac:dyDescent="0.3">
      <c r="F75" t="s">
        <v>73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Hamza Malik</dc:creator>
  <cp:lastModifiedBy>Ali Hamza Malik</cp:lastModifiedBy>
  <dcterms:created xsi:type="dcterms:W3CDTF">2022-12-08T15:15:14Z</dcterms:created>
  <dcterms:modified xsi:type="dcterms:W3CDTF">2022-12-19T05:31:54Z</dcterms:modified>
</cp:coreProperties>
</file>